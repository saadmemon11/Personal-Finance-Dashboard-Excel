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hidePivotFieldList="1" defaultThemeVersion="166925"/>
  <xr:revisionPtr revIDLastSave="0" documentId="8_{8D76521E-476F-4879-96E3-15FD27098161}" xr6:coauthVersionLast="47" xr6:coauthVersionMax="47" xr10:uidLastSave="{00000000-0000-0000-0000-000000000000}"/>
  <bookViews>
    <workbookView xWindow="240" yWindow="105" windowWidth="14805" windowHeight="8010" firstSheet="2" activeTab="3" xr2:uid="{00000000-000D-0000-FFFF-FFFF00000000}"/>
  </bookViews>
  <sheets>
    <sheet name="Pivot Analysis" sheetId="4" r:id="rId1"/>
    <sheet name="Raw Data" sheetId="1" r:id="rId2"/>
    <sheet name="Summary" sheetId="2" r:id="rId3"/>
    <sheet name="Dashboard" sheetId="3" r:id="rId4"/>
  </sheets>
  <calcPr calcId="191028"/>
  <pivotCaches>
    <pivotCache cacheId="16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1" l="1"/>
  <c r="N19" i="1"/>
  <c r="N20" i="1"/>
  <c r="N21" i="1"/>
  <c r="N17" i="1"/>
  <c r="D3" i="3"/>
  <c r="B3" i="3"/>
  <c r="H3" i="3"/>
  <c r="F3" i="3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<sst xmlns="http://schemas.openxmlformats.org/spreadsheetml/2006/main" count="79" uniqueCount="53">
  <si>
    <t>Month</t>
  </si>
  <si>
    <t>Sum of Income</t>
  </si>
  <si>
    <t>Sum of Expenses</t>
  </si>
  <si>
    <t>Sum of Savings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</si>
  <si>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</si>
  <si>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</si>
  <si>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</si>
  <si>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</si>
  <si>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</si>
  <si>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</si>
  <si>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</si>
  <si>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</si>
  <si>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</si>
  <si>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</si>
  <si>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</si>
  <si>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</si>
  <si>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</si>
  <si>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Category</t>
  </si>
  <si>
    <t>Income</t>
  </si>
  <si>
    <t>Expenses</t>
  </si>
  <si>
    <t>Savings</t>
  </si>
  <si>
    <t>Salary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</si>
  <si>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</si>
  <si>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</si>
  <si>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</si>
  <si>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</si>
  <si>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</si>
  <si>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</si>
  <si>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</si>
  <si>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</si>
  <si>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</si>
  <si>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</si>
  <si>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</si>
  <si>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Total</t>
  </si>
  <si>
    <t xml:space="preserve">Rent </t>
  </si>
  <si>
    <t>Food</t>
  </si>
  <si>
    <t>Transport</t>
  </si>
  <si>
    <t>Shopping</t>
  </si>
  <si>
    <t>Others</t>
  </si>
  <si>
    <t>Label</t>
  </si>
  <si>
    <t>Formula</t>
  </si>
  <si>
    <t>Total Annual Income</t>
  </si>
  <si>
    <t>Total Annual Expenses</t>
  </si>
  <si>
    <t>Total Annual Savings</t>
  </si>
  <si>
    <t>Savings Rate %</t>
  </si>
  <si>
    <t>Highest Expense Month</t>
  </si>
  <si>
    <t>Lowest Expense Month</t>
  </si>
  <si>
    <t>Average Monthly Income</t>
  </si>
  <si>
    <t>Average Monthly Expense</t>
  </si>
  <si>
    <t>Total Income</t>
  </si>
  <si>
    <t>Total Expenses</t>
  </si>
  <si>
    <t>Total Savings</t>
  </si>
  <si>
    <t>Savings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</si>
</sst>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44" fontId="1" fillId="2" borderId="1" xfId="0" applyNumberFormat="1" applyFont="1" applyFill="1" applyBorder="1"/>
    <xf numFmtId="44" fontId="1" fillId="2" borderId="2" xfId="0" applyNumberFormat="1" applyFont="1" applyFill="1" applyBorder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4949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472C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Income vs Expenses vs Savings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472C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Data'!$C$1</c:f>
              <c:strCache>
                <c:ptCount val="1"/>
                <c:pt idx="0">
                  <c:v>Income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'Raw Data'!$A$2:$B$13</c:f>
              <c:multiLvlStrCache>
                <c:ptCount val="12"/>
                <c:lvl>
                  <c:pt idx="0">
                    <c:v>Salary</c:v>
                  </c:pt>
                  <c:pt idx="1">
                    <c:v>Salary</c:v>
                  </c:pt>
                  <c:pt idx="2">
                    <c:v>Salary</c:v>
                  </c:pt>
                  <c:pt idx="3">
                    <c:v>Salary</c:v>
                  </c:pt>
                  <c:pt idx="4">
                    <c:v>Salary</c:v>
                  </c:pt>
                  <c:pt idx="5">
                    <c:v>Salary</c:v>
                  </c:pt>
                  <c:pt idx="6">
                    <c:v>Salary</c:v>
                  </c:pt>
                  <c:pt idx="7">
                    <c:v>Salary</c:v>
                  </c:pt>
                  <c:pt idx="8">
                    <c:v>Salary</c:v>
                  </c:pt>
                  <c:pt idx="9">
                    <c:v>Salary</c:v>
                  </c:pt>
                  <c:pt idx="10">
                    <c:v>Salary</c:v>
                  </c:pt>
                  <c:pt idx="11">
                    <c:v>Salary</c:v>
                  </c:pt>
                </c:lvl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</c:multiLvlStrCache>
            </c:multiLvlStrRef>
          </c:cat>
          <c:val>
            <c:numRef>
              <c:f>'Raw Data'!$C$2:$C$13</c:f>
              <c:numCache>
                <c:formatCode>General</c:formatCode>
                <c:ptCount val="12"/>
                <c:pt idx="0">
                  <c:v>50000</c:v>
                </c:pt>
                <c:pt idx="1">
                  <c:v>50000</c:v>
                </c:pt>
                <c:pt idx="2">
                  <c:v>50000</c:v>
                </c:pt>
                <c:pt idx="3">
                  <c:v>55000</c:v>
                </c:pt>
                <c:pt idx="4">
                  <c:v>55000</c:v>
                </c:pt>
                <c:pt idx="5">
                  <c:v>55000</c:v>
                </c:pt>
                <c:pt idx="6">
                  <c:v>60000</c:v>
                </c:pt>
                <c:pt idx="7">
                  <c:v>60000</c:v>
                </c:pt>
                <c:pt idx="8">
                  <c:v>60000</c:v>
                </c:pt>
                <c:pt idx="9">
                  <c:v>65000</c:v>
                </c:pt>
                <c:pt idx="10">
                  <c:v>65000</c:v>
                </c:pt>
                <c:pt idx="11">
                  <c:v>65000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AC-47FF-88F2-E238D3781C78}"/>
            </c:ext>
          </c:extLst>
        </c:ser>
        <c:ser>
          <c:idx val="1"/>
          <c:order val="1"/>
          <c:tx>
            <c:strRef>
              <c:f>'Raw Data'!$D$1</c:f>
              <c:strCache>
                <c:ptCount val="1"/>
                <c:pt idx="0">
                  <c:v>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'Raw Data'!$A$2:$B$13</c:f>
              <c:multiLvlStrCache>
                <c:ptCount val="12"/>
                <c:lvl>
                  <c:pt idx="0">
                    <c:v>Salary</c:v>
                  </c:pt>
                  <c:pt idx="1">
                    <c:v>Salary</c:v>
                  </c:pt>
                  <c:pt idx="2">
                    <c:v>Salary</c:v>
                  </c:pt>
                  <c:pt idx="3">
                    <c:v>Salary</c:v>
                  </c:pt>
                  <c:pt idx="4">
                    <c:v>Salary</c:v>
                  </c:pt>
                  <c:pt idx="5">
                    <c:v>Salary</c:v>
                  </c:pt>
                  <c:pt idx="6">
                    <c:v>Salary</c:v>
                  </c:pt>
                  <c:pt idx="7">
                    <c:v>Salary</c:v>
                  </c:pt>
                  <c:pt idx="8">
                    <c:v>Salary</c:v>
                  </c:pt>
                  <c:pt idx="9">
                    <c:v>Salary</c:v>
                  </c:pt>
                  <c:pt idx="10">
                    <c:v>Salary</c:v>
                  </c:pt>
                  <c:pt idx="11">
                    <c:v>Salary</c:v>
                  </c:pt>
                </c:lvl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</c:multiLvlStrCache>
            </c:multiLvlStrRef>
          </c:cat>
          <c:val>
            <c:numRef>
              <c:f>'Raw Data'!$D$2:$D$13</c:f>
              <c:numCache>
                <c:formatCode>General</c:formatCode>
                <c:ptCount val="12"/>
                <c:pt idx="0">
                  <c:v>32000</c:v>
                </c:pt>
                <c:pt idx="1">
                  <c:v>28000</c:v>
                </c:pt>
                <c:pt idx="2">
                  <c:v>35000</c:v>
                </c:pt>
                <c:pt idx="3">
                  <c:v>30000</c:v>
                </c:pt>
                <c:pt idx="4">
                  <c:v>27000</c:v>
                </c:pt>
                <c:pt idx="5">
                  <c:v>40000</c:v>
                </c:pt>
                <c:pt idx="6">
                  <c:v>33000</c:v>
                </c:pt>
                <c:pt idx="7">
                  <c:v>31000</c:v>
                </c:pt>
                <c:pt idx="8">
                  <c:v>36000</c:v>
                </c:pt>
                <c:pt idx="9">
                  <c:v>38000</c:v>
                </c:pt>
                <c:pt idx="10">
                  <c:v>42000</c:v>
                </c:pt>
                <c:pt idx="11">
                  <c:v>55000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AC-47FF-88F2-E238D3781C78}"/>
            </c:ext>
          </c:extLst>
        </c:ser>
        <c:ser>
          <c:idx val="2"/>
          <c:order val="2"/>
          <c:tx>
            <c:strRef>
              <c:f>'Raw Data'!$E$1</c:f>
              <c:strCache>
                <c:ptCount val="1"/>
                <c:pt idx="0">
                  <c:v>Savings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'Raw Data'!$A$2:$B$13</c:f>
              <c:multiLvlStrCache>
                <c:ptCount val="12"/>
                <c:lvl>
                  <c:pt idx="0">
                    <c:v>Salary</c:v>
                  </c:pt>
                  <c:pt idx="1">
                    <c:v>Salary</c:v>
                  </c:pt>
                  <c:pt idx="2">
                    <c:v>Salary</c:v>
                  </c:pt>
                  <c:pt idx="3">
                    <c:v>Salary</c:v>
                  </c:pt>
                  <c:pt idx="4">
                    <c:v>Salary</c:v>
                  </c:pt>
                  <c:pt idx="5">
                    <c:v>Salary</c:v>
                  </c:pt>
                  <c:pt idx="6">
                    <c:v>Salary</c:v>
                  </c:pt>
                  <c:pt idx="7">
                    <c:v>Salary</c:v>
                  </c:pt>
                  <c:pt idx="8">
                    <c:v>Salary</c:v>
                  </c:pt>
                  <c:pt idx="9">
                    <c:v>Salary</c:v>
                  </c:pt>
                  <c:pt idx="10">
                    <c:v>Salary</c:v>
                  </c:pt>
                  <c:pt idx="11">
                    <c:v>Salary</c:v>
                  </c:pt>
                </c:lvl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</c:multiLvlStrCache>
            </c:multiLvlStrRef>
          </c:cat>
          <c:val>
            <c:numRef>
              <c:f>'Raw Data'!$E$2:$E$13</c:f>
              <c:numCache>
                <c:formatCode>General</c:formatCode>
                <c:ptCount val="12"/>
                <c:pt idx="0">
                  <c:v>18000</c:v>
                </c:pt>
                <c:pt idx="1">
                  <c:v>22000</c:v>
                </c:pt>
                <c:pt idx="2">
                  <c:v>15000</c:v>
                </c:pt>
                <c:pt idx="3">
                  <c:v>25000</c:v>
                </c:pt>
                <c:pt idx="4">
                  <c:v>28000</c:v>
                </c:pt>
                <c:pt idx="5">
                  <c:v>15000</c:v>
                </c:pt>
                <c:pt idx="6">
                  <c:v>27000</c:v>
                </c:pt>
                <c:pt idx="7">
                  <c:v>29000</c:v>
                </c:pt>
                <c:pt idx="8">
                  <c:v>24000</c:v>
                </c:pt>
                <c:pt idx="9">
                  <c:v>27000</c:v>
                </c:pt>
                <c:pt idx="10">
                  <c:v>23000</c:v>
                </c:pt>
                <c:pt idx="11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AC-47FF-88F2-E238D3781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6881416"/>
        <c:axId val="1716887048"/>
      </c:lineChart>
      <c:catAx>
        <c:axId val="1716881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887048"/>
        <c:crosses val="autoZero"/>
        <c:auto val="1"/>
        <c:lblAlgn val="ctr"/>
        <c:lblOffset val="100"/>
        <c:noMultiLvlLbl val="0"/>
      </c:catAx>
      <c:valAx>
        <c:axId val="1716887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881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472C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Expense Breakdown by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472C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 Data'!$A$17</c:f>
              <c:strCache>
                <c:ptCount val="1"/>
                <c:pt idx="0">
                  <c:v>Rent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Data'!$B$16:$M$16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Data'!$B$17:$M$17</c:f>
              <c:numCache>
                <c:formatCode>General</c:formatCode>
                <c:ptCount val="12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D-4ED3-B537-95A75DC7ABB0}"/>
            </c:ext>
          </c:extLst>
        </c:ser>
        <c:ser>
          <c:idx val="1"/>
          <c:order val="1"/>
          <c:tx>
            <c:strRef>
              <c:f>'Raw Data'!$A$18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'Raw Data'!$B$16:$M$16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Data'!$B$18:$M$18</c:f>
              <c:numCache>
                <c:formatCode>General</c:formatCode>
                <c:ptCount val="12"/>
                <c:pt idx="0">
                  <c:v>8000</c:v>
                </c:pt>
                <c:pt idx="1">
                  <c:v>6000</c:v>
                </c:pt>
                <c:pt idx="2">
                  <c:v>9000</c:v>
                </c:pt>
                <c:pt idx="3">
                  <c:v>7000</c:v>
                </c:pt>
                <c:pt idx="4">
                  <c:v>5000</c:v>
                </c:pt>
                <c:pt idx="5">
                  <c:v>8000</c:v>
                </c:pt>
                <c:pt idx="6">
                  <c:v>7000</c:v>
                </c:pt>
                <c:pt idx="7">
                  <c:v>6000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ED-4ED3-B537-95A75DC7ABB0}"/>
            </c:ext>
          </c:extLst>
        </c:ser>
        <c:ser>
          <c:idx val="2"/>
          <c:order val="2"/>
          <c:tx>
            <c:strRef>
              <c:f>'Raw Data'!$A$19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'Raw Data'!$B$16:$M$16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Data'!$B$19:$M$19</c:f>
              <c:numCache>
                <c:formatCode>General</c:formatCode>
                <c:ptCount val="12"/>
                <c:pt idx="0">
                  <c:v>4000</c:v>
                </c:pt>
                <c:pt idx="1">
                  <c:v>3500</c:v>
                </c:pt>
                <c:pt idx="2">
                  <c:v>4500</c:v>
                </c:pt>
                <c:pt idx="3">
                  <c:v>4000</c:v>
                </c:pt>
                <c:pt idx="4">
                  <c:v>3500</c:v>
                </c:pt>
                <c:pt idx="5">
                  <c:v>8000</c:v>
                </c:pt>
                <c:pt idx="6">
                  <c:v>4500</c:v>
                </c:pt>
                <c:pt idx="7">
                  <c:v>4000</c:v>
                </c:pt>
                <c:pt idx="8">
                  <c:v>5000</c:v>
                </c:pt>
                <c:pt idx="9">
                  <c:v>5000</c:v>
                </c:pt>
                <c:pt idx="10">
                  <c:v>6000</c:v>
                </c:pt>
                <c:pt idx="11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ED-4ED3-B537-95A75DC7ABB0}"/>
            </c:ext>
          </c:extLst>
        </c:ser>
        <c:ser>
          <c:idx val="3"/>
          <c:order val="3"/>
          <c:tx>
            <c:strRef>
              <c:f>'Raw Data'!$A$20</c:f>
              <c:strCache>
                <c:ptCount val="1"/>
                <c:pt idx="0">
                  <c:v>Shopping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'Raw Data'!$B$16:$M$16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Data'!$B$20:$M$20</c:f>
              <c:numCache>
                <c:formatCode>General</c:formatCode>
                <c:ptCount val="12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4000</c:v>
                </c:pt>
                <c:pt idx="4">
                  <c:v>3500</c:v>
                </c:pt>
                <c:pt idx="5">
                  <c:v>7000</c:v>
                </c:pt>
                <c:pt idx="6">
                  <c:v>5000</c:v>
                </c:pt>
                <c:pt idx="7">
                  <c:v>5000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ED-4ED3-B537-95A75DC7ABB0}"/>
            </c:ext>
          </c:extLst>
        </c:ser>
        <c:ser>
          <c:idx val="4"/>
          <c:order val="4"/>
          <c:tx>
            <c:strRef>
              <c:f>'Raw Data'!$A$21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'Raw Data'!$B$16:$M$16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Data'!$B$21:$M$21</c:f>
              <c:numCache>
                <c:formatCode>General</c:formatCode>
                <c:ptCount val="12"/>
                <c:pt idx="0">
                  <c:v>5000</c:v>
                </c:pt>
                <c:pt idx="1">
                  <c:v>4500</c:v>
                </c:pt>
                <c:pt idx="2">
                  <c:v>5500</c:v>
                </c:pt>
                <c:pt idx="3">
                  <c:v>5000</c:v>
                </c:pt>
                <c:pt idx="4">
                  <c:v>4500</c:v>
                </c:pt>
                <c:pt idx="5">
                  <c:v>7000</c:v>
                </c:pt>
                <c:pt idx="6">
                  <c:v>6500</c:v>
                </c:pt>
                <c:pt idx="7">
                  <c:v>6000</c:v>
                </c:pt>
                <c:pt idx="8">
                  <c:v>7000</c:v>
                </c:pt>
                <c:pt idx="9">
                  <c:v>7000</c:v>
                </c:pt>
                <c:pt idx="10">
                  <c:v>8000</c:v>
                </c:pt>
                <c:pt idx="11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ED-4ED3-B537-95A75DC7A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0703752"/>
        <c:axId val="1654685192"/>
      </c:barChart>
      <c:catAx>
        <c:axId val="1060703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685192"/>
        <c:crosses val="autoZero"/>
        <c:auto val="1"/>
        <c:lblAlgn val="ctr"/>
        <c:lblOffset val="100"/>
        <c:noMultiLvlLbl val="0"/>
      </c:catAx>
      <c:valAx>
        <c:axId val="1654685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03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472C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Savings Trend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472C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'Raw Data'!$C$1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'Raw Data'!$A$2:$B$13</c:f>
              <c:multiLvlStrCache>
                <c:ptCount val="12"/>
                <c:lvl>
                  <c:pt idx="0">
                    <c:v>Salary</c:v>
                  </c:pt>
                  <c:pt idx="1">
                    <c:v>Salary</c:v>
                  </c:pt>
                  <c:pt idx="2">
                    <c:v>Salary</c:v>
                  </c:pt>
                  <c:pt idx="3">
                    <c:v>Salary</c:v>
                  </c:pt>
                  <c:pt idx="4">
                    <c:v>Salary</c:v>
                  </c:pt>
                  <c:pt idx="5">
                    <c:v>Salary</c:v>
                  </c:pt>
                  <c:pt idx="6">
                    <c:v>Salary</c:v>
                  </c:pt>
                  <c:pt idx="7">
                    <c:v>Salary</c:v>
                  </c:pt>
                  <c:pt idx="8">
                    <c:v>Salary</c:v>
                  </c:pt>
                  <c:pt idx="9">
                    <c:v>Salary</c:v>
                  </c:pt>
                  <c:pt idx="10">
                    <c:v>Salary</c:v>
                  </c:pt>
                  <c:pt idx="11">
                    <c:v>Salary</c:v>
                  </c:pt>
                </c:lvl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</c:multiLvlStrCache>
            </c:multiLvlStrRef>
          </c:cat>
          <c:val>
            <c:numRef>
              <c:f>'Raw Data'!$C$2:$C$13</c:f>
              <c:numCache>
                <c:formatCode>General</c:formatCode>
                <c:ptCount val="12"/>
                <c:pt idx="0">
                  <c:v>50000</c:v>
                </c:pt>
                <c:pt idx="1">
                  <c:v>50000</c:v>
                </c:pt>
                <c:pt idx="2">
                  <c:v>50000</c:v>
                </c:pt>
                <c:pt idx="3">
                  <c:v>55000</c:v>
                </c:pt>
                <c:pt idx="4">
                  <c:v>55000</c:v>
                </c:pt>
                <c:pt idx="5">
                  <c:v>55000</c:v>
                </c:pt>
                <c:pt idx="6">
                  <c:v>60000</c:v>
                </c:pt>
                <c:pt idx="7">
                  <c:v>60000</c:v>
                </c:pt>
                <c:pt idx="8">
                  <c:v>60000</c:v>
                </c:pt>
                <c:pt idx="9">
                  <c:v>65000</c:v>
                </c:pt>
                <c:pt idx="10">
                  <c:v>65000</c:v>
                </c:pt>
                <c:pt idx="11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1-4454-B856-D4BBEF8215C2}"/>
            </c:ext>
          </c:extLst>
        </c:ser>
        <c:ser>
          <c:idx val="1"/>
          <c:order val="1"/>
          <c:tx>
            <c:strRef>
              <c:f>'Raw Data'!$D$1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multiLvlStrRef>
              <c:f>'Raw Data'!$A$2:$B$13</c:f>
              <c:multiLvlStrCache>
                <c:ptCount val="12"/>
                <c:lvl>
                  <c:pt idx="0">
                    <c:v>Salary</c:v>
                  </c:pt>
                  <c:pt idx="1">
                    <c:v>Salary</c:v>
                  </c:pt>
                  <c:pt idx="2">
                    <c:v>Salary</c:v>
                  </c:pt>
                  <c:pt idx="3">
                    <c:v>Salary</c:v>
                  </c:pt>
                  <c:pt idx="4">
                    <c:v>Salary</c:v>
                  </c:pt>
                  <c:pt idx="5">
                    <c:v>Salary</c:v>
                  </c:pt>
                  <c:pt idx="6">
                    <c:v>Salary</c:v>
                  </c:pt>
                  <c:pt idx="7">
                    <c:v>Salary</c:v>
                  </c:pt>
                  <c:pt idx="8">
                    <c:v>Salary</c:v>
                  </c:pt>
                  <c:pt idx="9">
                    <c:v>Salary</c:v>
                  </c:pt>
                  <c:pt idx="10">
                    <c:v>Salary</c:v>
                  </c:pt>
                  <c:pt idx="11">
                    <c:v>Salary</c:v>
                  </c:pt>
                </c:lvl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</c:multiLvlStrCache>
            </c:multiLvlStrRef>
          </c:cat>
          <c:val>
            <c:numRef>
              <c:f>'Raw Data'!$D$2:$D$13</c:f>
              <c:numCache>
                <c:formatCode>General</c:formatCode>
                <c:ptCount val="12"/>
                <c:pt idx="0">
                  <c:v>32000</c:v>
                </c:pt>
                <c:pt idx="1">
                  <c:v>28000</c:v>
                </c:pt>
                <c:pt idx="2">
                  <c:v>35000</c:v>
                </c:pt>
                <c:pt idx="3">
                  <c:v>30000</c:v>
                </c:pt>
                <c:pt idx="4">
                  <c:v>27000</c:v>
                </c:pt>
                <c:pt idx="5">
                  <c:v>40000</c:v>
                </c:pt>
                <c:pt idx="6">
                  <c:v>33000</c:v>
                </c:pt>
                <c:pt idx="7">
                  <c:v>31000</c:v>
                </c:pt>
                <c:pt idx="8">
                  <c:v>36000</c:v>
                </c:pt>
                <c:pt idx="9">
                  <c:v>38000</c:v>
                </c:pt>
                <c:pt idx="10">
                  <c:v>42000</c:v>
                </c:pt>
                <c:pt idx="11">
                  <c:v>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A1-4454-B856-D4BBEF8215C2}"/>
            </c:ext>
          </c:extLst>
        </c:ser>
        <c:ser>
          <c:idx val="2"/>
          <c:order val="2"/>
          <c:tx>
            <c:strRef>
              <c:f>'Raw Data'!$E$1</c:f>
              <c:strCache>
                <c:ptCount val="1"/>
                <c:pt idx="0">
                  <c:v>Savings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multiLvlStrRef>
              <c:f>'Raw Data'!$A$2:$B$13</c:f>
              <c:multiLvlStrCache>
                <c:ptCount val="12"/>
                <c:lvl>
                  <c:pt idx="0">
                    <c:v>Salary</c:v>
                  </c:pt>
                  <c:pt idx="1">
                    <c:v>Salary</c:v>
                  </c:pt>
                  <c:pt idx="2">
                    <c:v>Salary</c:v>
                  </c:pt>
                  <c:pt idx="3">
                    <c:v>Salary</c:v>
                  </c:pt>
                  <c:pt idx="4">
                    <c:v>Salary</c:v>
                  </c:pt>
                  <c:pt idx="5">
                    <c:v>Salary</c:v>
                  </c:pt>
                  <c:pt idx="6">
                    <c:v>Salary</c:v>
                  </c:pt>
                  <c:pt idx="7">
                    <c:v>Salary</c:v>
                  </c:pt>
                  <c:pt idx="8">
                    <c:v>Salary</c:v>
                  </c:pt>
                  <c:pt idx="9">
                    <c:v>Salary</c:v>
                  </c:pt>
                  <c:pt idx="10">
                    <c:v>Salary</c:v>
                  </c:pt>
                  <c:pt idx="11">
                    <c:v>Salary</c:v>
                  </c:pt>
                </c:lvl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</c:multiLvlStrCache>
            </c:multiLvlStrRef>
          </c:cat>
          <c:val>
            <c:numRef>
              <c:f>'Raw Data'!$E$2:$E$13</c:f>
              <c:numCache>
                <c:formatCode>General</c:formatCode>
                <c:ptCount val="12"/>
                <c:pt idx="0">
                  <c:v>18000</c:v>
                </c:pt>
                <c:pt idx="1">
                  <c:v>22000</c:v>
                </c:pt>
                <c:pt idx="2">
                  <c:v>15000</c:v>
                </c:pt>
                <c:pt idx="3">
                  <c:v>25000</c:v>
                </c:pt>
                <c:pt idx="4">
                  <c:v>28000</c:v>
                </c:pt>
                <c:pt idx="5">
                  <c:v>15000</c:v>
                </c:pt>
                <c:pt idx="6">
                  <c:v>27000</c:v>
                </c:pt>
                <c:pt idx="7">
                  <c:v>29000</c:v>
                </c:pt>
                <c:pt idx="8">
                  <c:v>24000</c:v>
                </c:pt>
                <c:pt idx="9">
                  <c:v>27000</c:v>
                </c:pt>
                <c:pt idx="10">
                  <c:v>23000</c:v>
                </c:pt>
                <c:pt idx="11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A1-4454-B856-D4BBEF821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129927"/>
        <c:axId val="2138140679"/>
      </c:areaChart>
      <c:catAx>
        <c:axId val="2138129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140679"/>
        <c:crosses val="autoZero"/>
        <c:auto val="1"/>
        <c:lblAlgn val="ctr"/>
        <c:lblOffset val="100"/>
        <c:noMultiLvlLbl val="0"/>
      </c:catAx>
      <c:valAx>
        <c:axId val="2138140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129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472C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Expense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472C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'Raw Data'!$N$16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53-4401-8422-9D28C54F75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53-4401-8422-9D28C54F75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53-4401-8422-9D28C54F75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553-4401-8422-9D28C54F75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553-4401-8422-9D28C54F75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'Raw Data'!$A$17:$A$21</c:f>
              <c:strCache>
                <c:ptCount val="5"/>
                <c:pt idx="0">
                  <c:v>Rent </c:v>
                </c:pt>
                <c:pt idx="1">
                  <c:v>Food</c:v>
                </c:pt>
                <c:pt idx="2">
                  <c:v>Transport</c:v>
                </c:pt>
                <c:pt idx="3">
                  <c:v>Shopping</c:v>
                </c:pt>
                <c:pt idx="4">
                  <c:v>Others</c:v>
                </c:pt>
              </c:strCache>
            </c:strRef>
          </c:cat>
          <c:val>
            <c:numRef>
              <c:f>'Raw Data'!$N$17:$N$21</c:f>
              <c:numCache>
                <c:formatCode>General</c:formatCode>
                <c:ptCount val="5"/>
                <c:pt idx="0">
                  <c:v>120000</c:v>
                </c:pt>
                <c:pt idx="1">
                  <c:v>98000</c:v>
                </c:pt>
                <c:pt idx="2">
                  <c:v>60000</c:v>
                </c:pt>
                <c:pt idx="3">
                  <c:v>72500</c:v>
                </c:pt>
                <c:pt idx="4">
                  <c:v>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53-4401-8422-9D28C54F7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3</xdr:row>
      <xdr:rowOff>161925</xdr:rowOff>
    </xdr:from>
    <xdr:to>
      <xdr:col>8</xdr:col>
      <xdr:colOff>561975</xdr:colOff>
      <xdr:row>18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6C1943-2554-4ECF-A91E-C88EAE4DE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</xdr:colOff>
      <xdr:row>3</xdr:row>
      <xdr:rowOff>171450</xdr:rowOff>
    </xdr:from>
    <xdr:to>
      <xdr:col>15</xdr:col>
      <xdr:colOff>323850</xdr:colOff>
      <xdr:row>18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845989-EBED-49AE-320F-FFD724488B25}"/>
            </a:ext>
            <a:ext uri="{147F2762-F138-4A5C-976F-8EAC2B608ADB}">
              <a16:predDERef xmlns:a16="http://schemas.microsoft.com/office/drawing/2014/main" pred="{476C1943-2554-4ECF-A91E-C88EAE4DE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457200</xdr:colOff>
      <xdr:row>19</xdr:row>
      <xdr:rowOff>57150</xdr:rowOff>
    </xdr:from>
    <xdr:to>
      <xdr:col>8</xdr:col>
      <xdr:colOff>571500</xdr:colOff>
      <xdr:row>33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67196D-2B28-3164-DAE8-B46DBB6AF434}"/>
            </a:ext>
            <a:ext uri="{147F2762-F138-4A5C-976F-8EAC2B608ADB}">
              <a16:predDERef xmlns:a16="http://schemas.microsoft.com/office/drawing/2014/main" pred="{2F845989-EBED-49AE-320F-FFD724488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57150</xdr:colOff>
      <xdr:row>19</xdr:row>
      <xdr:rowOff>57150</xdr:rowOff>
    </xdr:from>
    <xdr:to>
      <xdr:col>15</xdr:col>
      <xdr:colOff>304800</xdr:colOff>
      <xdr:row>33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F9EAF5-B33E-300F-6659-AE450ED4EAF8}"/>
            </a:ext>
            <a:ext uri="{147F2762-F138-4A5C-976F-8EAC2B608ADB}">
              <a16:predDERef xmlns:a16="http://schemas.microsoft.com/office/drawing/2014/main" pred="{5667196D-2B28-3164-DAE8-B46DBB6AF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8.511146990742" createdVersion="8" refreshedVersion="8" minRefreshableVersion="3" recordCount="12" xr:uid="{6A2611B9-D950-42DA-ADCE-BB417A4317FB}">
  <cacheSource type="worksheet">
    <worksheetSource ref="A1:E13" sheet="Raw Data"/>
  </cacheSource>
  <cacheFields count="5"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Category" numFmtId="0">
      <sharedItems/>
    </cacheField>
    <cacheField name="Income" numFmtId="0">
      <sharedItems containsSemiMixedTypes="0" containsString="0" containsNumber="1" containsInteger="1" minValue="50000" maxValue="65000"/>
    </cacheField>
    <cacheField name="Expenses" numFmtId="0">
      <sharedItems containsSemiMixedTypes="0" containsString="0" containsNumber="1" containsInteger="1" minValue="27000" maxValue="55000"/>
    </cacheField>
    <cacheField name="Savings" numFmtId="0">
      <sharedItems containsSemiMixedTypes="0" containsString="0" containsNumber="1" containsInteger="1" minValue="10000" maxValue="2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Salary"/>
    <n v="50000"/>
    <n v="32000"/>
    <n v="18000"/>
  </r>
  <r>
    <x v="1"/>
    <s v="Salary"/>
    <n v="50000"/>
    <n v="28000"/>
    <n v="22000"/>
  </r>
  <r>
    <x v="2"/>
    <s v="Salary"/>
    <n v="50000"/>
    <n v="35000"/>
    <n v="15000"/>
  </r>
  <r>
    <x v="3"/>
    <s v="Salary"/>
    <n v="55000"/>
    <n v="30000"/>
    <n v="25000"/>
  </r>
  <r>
    <x v="4"/>
    <s v="Salary"/>
    <n v="55000"/>
    <n v="27000"/>
    <n v="28000"/>
  </r>
  <r>
    <x v="5"/>
    <s v="Salary"/>
    <n v="55000"/>
    <n v="40000"/>
    <n v="15000"/>
  </r>
  <r>
    <x v="6"/>
    <s v="Salary"/>
    <n v="60000"/>
    <n v="33000"/>
    <n v="27000"/>
  </r>
  <r>
    <x v="7"/>
    <s v="Salary"/>
    <n v="60000"/>
    <n v="31000"/>
    <n v="29000"/>
  </r>
  <r>
    <x v="8"/>
    <s v="Salary"/>
    <n v="60000"/>
    <n v="36000"/>
    <n v="24000"/>
  </r>
  <r>
    <x v="9"/>
    <s v="Salary"/>
    <n v="65000"/>
    <n v="38000"/>
    <n v="27000"/>
  </r>
  <r>
    <x v="10"/>
    <s v="Salary"/>
    <n v="65000"/>
    <n v="42000"/>
    <n v="23000"/>
  </r>
  <r>
    <x v="11"/>
    <s v="Salary"/>
    <n v="65000"/>
    <n v="55000"/>
    <n v="1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B864B-A834-40F3-8B03-4EEBCE4525D9}" name="PivotTable1" cacheId="1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6" firstHeaderRow="0" firstDataRow="1" firstDataCol="1"/>
  <pivotFields count="5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ncome" fld="2" baseField="0" baseItem="0"/>
    <dataField name="Sum of Expenses" fld="3" baseField="0" baseItem="0"/>
    <dataField name="Sum of Savings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9F18F-59BA-4541-B9BC-9C6E9C6110E6}">
  <dimension ref="A3:D16"/>
  <sheetViews>
    <sheetView workbookViewId="0">
      <selection activeCell="A3" sqref="A3"/>
    </sheetView>
  </sheetViews>
  <sheetFormatPr defaultRowHeight="15"/>
  <cols>
    <col min="1" max="1" width="11.42578125" bestFit="1" customWidth="1"/>
    <col min="2" max="2" width="14.140625" bestFit="1" customWidth="1"/>
    <col min="3" max="3" width="15.7109375" bestFit="1" customWidth="1"/>
    <col min="4" max="4" width="14.140625" bestFit="1" customWidth="1"/>
  </cols>
  <sheetData>
    <row r="3" spans="1:4">
      <c r="A3" s="5" t="s">
        <v>0</v>
      </c>
      <c r="B3" t="s">
        <v>1</v>
      </c>
      <c r="C3" t="s">
        <v>2</v>
      </c>
      <c r="D3" t="s">
        <v>3</v>
      </c>
    </row>
    <row r="4" spans="1:4">
      <c r="A4" t="s">
        <v>4</v>
      </c>
      <c r="B4" s="6">
        <v>50000</v>
      </c>
      <c r="C4" s="6">
        <v>32000</v>
      </c>
      <c r="D4" s="6">
        <v>18000</v>
      </c>
    </row>
    <row r="5" spans="1:4">
      <c r="A5" t="s">
        <v>5</v>
      </c>
      <c r="B5" s="6">
        <v>50000</v>
      </c>
      <c r="C5" s="6">
        <v>28000</v>
      </c>
      <c r="D5" s="6">
        <v>22000</v>
      </c>
    </row>
    <row r="6" spans="1:4">
      <c r="A6" t="s">
        <v>6</v>
      </c>
      <c r="B6" s="6">
        <v>50000</v>
      </c>
      <c r="C6" s="6">
        <v>35000</v>
      </c>
      <c r="D6" s="6">
        <v>15000</v>
      </c>
    </row>
    <row r="7" spans="1:4">
      <c r="A7" t="s">
        <v>7</v>
      </c>
      <c r="B7" s="6">
        <v>55000</v>
      </c>
      <c r="C7" s="6">
        <v>30000</v>
      </c>
      <c r="D7" s="6">
        <v>25000</v>
      </c>
    </row>
    <row r="8" spans="1:4">
      <c r="A8" t="s">
        <v>8</v>
      </c>
      <c r="B8" s="6">
        <v>55000</v>
      </c>
      <c r="C8" s="6">
        <v>27000</v>
      </c>
      <c r="D8" s="6">
        <v>28000</v>
      </c>
    </row>
    <row r="9" spans="1:4">
      <c r="A9" t="s">
        <v>9</v>
      </c>
      <c r="B9" s="6">
        <v>55000</v>
      </c>
      <c r="C9" s="6">
        <v>40000</v>
      </c>
      <c r="D9" s="6">
        <v>15000</v>
      </c>
    </row>
    <row r="10" spans="1:4">
      <c r="A10" t="s">
        <v>10</v>
      </c>
      <c r="B10" s="6">
        <v>60000</v>
      </c>
      <c r="C10" s="6">
        <v>33000</v>
      </c>
      <c r="D10" s="6">
        <v>27000</v>
      </c>
    </row>
    <row r="11" spans="1:4">
      <c r="A11" t="s">
        <v>11</v>
      </c>
      <c r="B11" s="6">
        <v>60000</v>
      </c>
      <c r="C11" s="6">
        <v>31000</v>
      </c>
      <c r="D11" s="6">
        <v>29000</v>
      </c>
    </row>
    <row r="12" spans="1:4">
      <c r="A12" t="s">
        <v>12</v>
      </c>
      <c r="B12" s="6">
        <v>60000</v>
      </c>
      <c r="C12" s="6">
        <v>36000</v>
      </c>
      <c r="D12" s="6">
        <v>24000</v>
      </c>
    </row>
    <row r="13" spans="1:4">
      <c r="A13" t="s">
        <v>13</v>
      </c>
      <c r="B13" s="6">
        <v>65000</v>
      </c>
      <c r="C13" s="6">
        <v>38000</v>
      </c>
      <c r="D13" s="6">
        <v>27000</v>
      </c>
    </row>
    <row r="14" spans="1:4">
      <c r="A14" t="s">
        <v>14</v>
      </c>
      <c r="B14" s="6">
        <v>65000</v>
      </c>
      <c r="C14" s="6">
        <v>42000</v>
      </c>
      <c r="D14" s="6">
        <v>23000</v>
      </c>
    </row>
    <row r="15" spans="1:4">
      <c r="A15" t="s">
        <v>15</v>
      </c>
      <c r="B15" s="6">
        <v>65000</v>
      </c>
      <c r="C15" s="6">
        <v>55000</v>
      </c>
      <c r="D15" s="6">
        <v>10000</v>
      </c>
    </row>
    <row r="16" spans="1:4">
      <c r="A16" t="s">
        <v>16</v>
      </c>
      <c r="B16" s="6">
        <v>690000</v>
      </c>
      <c r="C16" s="6">
        <v>427000</v>
      </c>
      <c r="D16" s="6">
        <v>263000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workbookViewId="0">
      <selection sqref="A1:E13"/>
    </sheetView>
  </sheetViews>
  <sheetFormatPr defaultRowHeight="15"/>
  <cols>
    <col min="1" max="1" width="12.42578125" customWidth="1"/>
    <col min="2" max="2" width="12.28515625" customWidth="1"/>
    <col min="3" max="3" width="12.140625" customWidth="1"/>
    <col min="4" max="4" width="13.7109375" customWidth="1"/>
    <col min="5" max="5" width="11.140625" customWidth="1"/>
  </cols>
  <sheetData>
    <row r="1" spans="1:14">
      <c r="A1" t="s">
        <v>0</v>
      </c>
      <c r="B1" t="s">
        <v>17</v>
      </c>
      <c r="C1" t="s">
        <v>18</v>
      </c>
      <c r="D1" t="s">
        <v>19</v>
      </c>
      <c r="E1" t="s">
        <v>20</v>
      </c>
    </row>
    <row r="2" spans="1:14">
      <c r="A2" t="s">
        <v>4</v>
      </c>
      <c r="B2" t="s">
        <v>21</v>
      </c>
      <c r="C2">
        <v>50000</v>
      </c>
      <c r="D2">
        <v>32000</v>
      </c>
      <c r="E2">
        <v>18000</v>
      </c>
    </row>
    <row r="3" spans="1:14">
      <c r="A3" t="s">
        <v>5</v>
      </c>
      <c r="B3" t="s">
        <v>21</v>
      </c>
      <c r="C3">
        <v>50000</v>
      </c>
      <c r="D3">
        <v>28000</v>
      </c>
      <c r="E3">
        <v>22000</v>
      </c>
    </row>
    <row r="4" spans="1:14">
      <c r="A4" t="s">
        <v>6</v>
      </c>
      <c r="B4" t="s">
        <v>21</v>
      </c>
      <c r="C4">
        <v>50000</v>
      </c>
      <c r="D4">
        <v>35000</v>
      </c>
      <c r="E4">
        <v>15000</v>
      </c>
    </row>
    <row r="5" spans="1:14">
      <c r="A5" t="s">
        <v>7</v>
      </c>
      <c r="B5" t="s">
        <v>21</v>
      </c>
      <c r="C5">
        <v>55000</v>
      </c>
      <c r="D5">
        <v>30000</v>
      </c>
      <c r="E5">
        <v>25000</v>
      </c>
    </row>
    <row r="6" spans="1:14">
      <c r="A6" t="s">
        <v>8</v>
      </c>
      <c r="B6" t="s">
        <v>21</v>
      </c>
      <c r="C6">
        <v>55000</v>
      </c>
      <c r="D6">
        <v>27000</v>
      </c>
      <c r="E6">
        <v>28000</v>
      </c>
    </row>
    <row r="7" spans="1:14">
      <c r="A7" t="s">
        <v>9</v>
      </c>
      <c r="B7" t="s">
        <v>21</v>
      </c>
      <c r="C7">
        <v>55000</v>
      </c>
      <c r="D7">
        <v>40000</v>
      </c>
      <c r="E7">
        <v>15000</v>
      </c>
    </row>
    <row r="8" spans="1:14">
      <c r="A8" t="s">
        <v>10</v>
      </c>
      <c r="B8" t="s">
        <v>21</v>
      </c>
      <c r="C8">
        <v>60000</v>
      </c>
      <c r="D8">
        <v>33000</v>
      </c>
      <c r="E8">
        <v>27000</v>
      </c>
    </row>
    <row r="9" spans="1:14">
      <c r="A9" t="s">
        <v>11</v>
      </c>
      <c r="B9" t="s">
        <v>21</v>
      </c>
      <c r="C9">
        <v>60000</v>
      </c>
      <c r="D9">
        <v>31000</v>
      </c>
      <c r="E9">
        <v>29000</v>
      </c>
    </row>
    <row r="10" spans="1:14">
      <c r="A10" t="s">
        <v>12</v>
      </c>
      <c r="B10" t="s">
        <v>21</v>
      </c>
      <c r="C10">
        <v>60000</v>
      </c>
      <c r="D10">
        <v>36000</v>
      </c>
      <c r="E10">
        <v>24000</v>
      </c>
    </row>
    <row r="11" spans="1:14">
      <c r="A11" t="s">
        <v>13</v>
      </c>
      <c r="B11" t="s">
        <v>21</v>
      </c>
      <c r="C11">
        <v>65000</v>
      </c>
      <c r="D11">
        <v>38000</v>
      </c>
      <c r="E11">
        <v>27000</v>
      </c>
    </row>
    <row r="12" spans="1:14">
      <c r="A12" t="s">
        <v>14</v>
      </c>
      <c r="B12" t="s">
        <v>21</v>
      </c>
      <c r="C12">
        <v>65000</v>
      </c>
      <c r="D12">
        <v>42000</v>
      </c>
      <c r="E12">
        <v>23000</v>
      </c>
    </row>
    <row r="13" spans="1:14">
      <c r="A13" t="s">
        <v>15</v>
      </c>
      <c r="B13" t="s">
        <v>21</v>
      </c>
      <c r="C13">
        <v>65000</v>
      </c>
      <c r="D13">
        <v>55000</v>
      </c>
      <c r="E13">
        <v>10000</v>
      </c>
    </row>
    <row r="16" spans="1:14">
      <c r="A16" t="s">
        <v>17</v>
      </c>
      <c r="B16" t="s">
        <v>22</v>
      </c>
      <c r="C16" t="s">
        <v>23</v>
      </c>
      <c r="D16" t="s">
        <v>24</v>
      </c>
      <c r="E16" t="s">
        <v>25</v>
      </c>
      <c r="F16" t="s">
        <v>8</v>
      </c>
      <c r="G16" t="s">
        <v>26</v>
      </c>
      <c r="H16" t="s">
        <v>27</v>
      </c>
      <c r="I16" t="s">
        <v>28</v>
      </c>
      <c r="J16" t="s">
        <v>29</v>
      </c>
      <c r="K16" t="s">
        <v>30</v>
      </c>
      <c r="L16" t="s">
        <v>31</v>
      </c>
      <c r="M16" t="s">
        <v>32</v>
      </c>
      <c r="N16" t="s">
        <v>33</v>
      </c>
    </row>
    <row r="17" spans="1:14">
      <c r="A17" t="s">
        <v>34</v>
      </c>
      <c r="B17">
        <v>10000</v>
      </c>
      <c r="C17">
        <v>10000</v>
      </c>
      <c r="D17">
        <v>10000</v>
      </c>
      <c r="E17">
        <v>10000</v>
      </c>
      <c r="F17">
        <v>10000</v>
      </c>
      <c r="G17">
        <v>10000</v>
      </c>
      <c r="H17">
        <v>10000</v>
      </c>
      <c r="I17">
        <v>10000</v>
      </c>
      <c r="J17">
        <v>10000</v>
      </c>
      <c r="K17">
        <v>10000</v>
      </c>
      <c r="L17">
        <v>10000</v>
      </c>
      <c r="M17">
        <v>10000</v>
      </c>
      <c r="N17">
        <f>SUM(B17:M17)</f>
        <v>120000</v>
      </c>
    </row>
    <row r="18" spans="1:14">
      <c r="A18" t="s">
        <v>35</v>
      </c>
      <c r="B18">
        <v>8000</v>
      </c>
      <c r="C18">
        <v>6000</v>
      </c>
      <c r="D18">
        <v>9000</v>
      </c>
      <c r="E18">
        <v>7000</v>
      </c>
      <c r="F18">
        <v>5000</v>
      </c>
      <c r="G18">
        <v>8000</v>
      </c>
      <c r="H18">
        <v>7000</v>
      </c>
      <c r="I18">
        <v>6000</v>
      </c>
      <c r="J18">
        <v>8000</v>
      </c>
      <c r="K18">
        <v>9000</v>
      </c>
      <c r="L18">
        <v>10000</v>
      </c>
      <c r="M18">
        <v>15000</v>
      </c>
      <c r="N18">
        <f t="shared" ref="N18:N21" si="0">SUM(B18:M18)</f>
        <v>98000</v>
      </c>
    </row>
    <row r="19" spans="1:14">
      <c r="A19" t="s">
        <v>36</v>
      </c>
      <c r="B19">
        <v>4000</v>
      </c>
      <c r="C19">
        <v>3500</v>
      </c>
      <c r="D19">
        <v>4500</v>
      </c>
      <c r="E19">
        <v>4000</v>
      </c>
      <c r="F19">
        <v>3500</v>
      </c>
      <c r="G19">
        <v>8000</v>
      </c>
      <c r="H19">
        <v>4500</v>
      </c>
      <c r="I19">
        <v>4000</v>
      </c>
      <c r="J19">
        <v>5000</v>
      </c>
      <c r="K19">
        <v>5000</v>
      </c>
      <c r="L19">
        <v>6000</v>
      </c>
      <c r="M19">
        <v>8000</v>
      </c>
      <c r="N19">
        <f t="shared" si="0"/>
        <v>60000</v>
      </c>
    </row>
    <row r="20" spans="1:14">
      <c r="A20" t="s">
        <v>37</v>
      </c>
      <c r="B20">
        <v>5000</v>
      </c>
      <c r="C20">
        <v>4000</v>
      </c>
      <c r="D20">
        <v>6000</v>
      </c>
      <c r="E20">
        <v>4000</v>
      </c>
      <c r="F20">
        <v>3500</v>
      </c>
      <c r="G20">
        <v>7000</v>
      </c>
      <c r="H20">
        <v>5000</v>
      </c>
      <c r="I20">
        <v>5000</v>
      </c>
      <c r="J20">
        <v>6000</v>
      </c>
      <c r="K20">
        <v>7000</v>
      </c>
      <c r="L20">
        <v>8000</v>
      </c>
      <c r="M20">
        <v>12000</v>
      </c>
      <c r="N20">
        <f t="shared" si="0"/>
        <v>72500</v>
      </c>
    </row>
    <row r="21" spans="1:14">
      <c r="A21" t="s">
        <v>38</v>
      </c>
      <c r="B21">
        <v>5000</v>
      </c>
      <c r="C21">
        <v>4500</v>
      </c>
      <c r="D21">
        <v>5500</v>
      </c>
      <c r="E21">
        <v>5000</v>
      </c>
      <c r="F21">
        <v>4500</v>
      </c>
      <c r="G21">
        <v>7000</v>
      </c>
      <c r="H21">
        <v>6500</v>
      </c>
      <c r="I21">
        <v>6000</v>
      </c>
      <c r="J21">
        <v>7000</v>
      </c>
      <c r="K21">
        <v>7000</v>
      </c>
      <c r="L21">
        <v>8000</v>
      </c>
      <c r="M21">
        <v>10000</v>
      </c>
      <c r="N21">
        <f t="shared" si="0"/>
        <v>76000</v>
      </c>
    </row>
  </sheetData>
  <conditionalFormatting sqref="E2: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{29A592B1-6FAD-41F6-A1C8-FFE752D9705D}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A592B1-6FAD-41F6-A1C8-FFE752D970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1CD26-27A0-4520-B52A-7C0177DEB51A}">
  <dimension ref="A1:B9"/>
  <sheetViews>
    <sheetView workbookViewId="0">
      <selection activeCell="B9" sqref="B9"/>
    </sheetView>
  </sheetViews>
  <sheetFormatPr defaultRowHeight="15"/>
  <cols>
    <col min="1" max="1" width="22.42578125" customWidth="1"/>
    <col min="2" max="2" width="24" customWidth="1"/>
  </cols>
  <sheetData>
    <row r="1" spans="1:2">
      <c r="A1" t="s">
        <v>39</v>
      </c>
      <c r="B1" t="s">
        <v>40</v>
      </c>
    </row>
    <row r="2" spans="1:2">
      <c r="A2" t="s">
        <v>41</v>
      </c>
      <c r="B2">
        <f>SUM('Raw Data'!C2:C13)</f>
        <v>690000</v>
      </c>
    </row>
    <row r="3" spans="1:2">
      <c r="A3" t="s">
        <v>42</v>
      </c>
      <c r="B3">
        <f>SUM('Raw Data'!D2:D13)</f>
        <v>427000</v>
      </c>
    </row>
    <row r="4" spans="1:2">
      <c r="A4" t="s">
        <v>43</v>
      </c>
      <c r="B4">
        <f>SUM('Raw Data'!E2:E13)</f>
        <v>263000</v>
      </c>
    </row>
    <row r="5" spans="1:2">
      <c r="A5" t="s">
        <v>44</v>
      </c>
      <c r="B5">
        <f>'Raw Data'!E2/'Raw Data'!C2*100</f>
        <v>36</v>
      </c>
    </row>
    <row r="6" spans="1:2">
      <c r="A6" t="s">
        <v>45</v>
      </c>
      <c r="B6" t="str">
        <f>INDEX('Raw Data'!A2:A13,MATCH(MAX('Raw Data'!D2:D13),'Raw Data'!D2:D13,0))</f>
        <v>December</v>
      </c>
    </row>
    <row r="7" spans="1:2">
      <c r="A7" t="s">
        <v>46</v>
      </c>
      <c r="B7" t="str">
        <f>INDEX('Raw Data'!A2:A13,MATCH(MIN('Raw Data'!D2:D13),'Raw Data'!D2:D13,0))</f>
        <v>May</v>
      </c>
    </row>
    <row r="8" spans="1:2" ht="30.75">
      <c r="A8" s="1" t="s">
        <v>47</v>
      </c>
      <c r="B8">
        <f>AVERAGE('Raw Data'!C2:C13)</f>
        <v>57500</v>
      </c>
    </row>
    <row r="9" spans="1:2" ht="30.75">
      <c r="A9" s="1" t="s">
        <v>48</v>
      </c>
      <c r="B9">
        <f>AVERAGE('Raw Data'!D2:D13)</f>
        <v>35583.333333333336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DFDD2-64AB-47C8-BD6C-AEAC6EB931A7}">
  <dimension ref="B2:H3"/>
  <sheetViews>
    <sheetView tabSelected="1" workbookViewId="0">
      <selection activeCell="Q5" sqref="Q5"/>
    </sheetView>
  </sheetViews>
  <sheetFormatPr defaultRowHeight="15"/>
  <cols>
    <col min="1" max="1" width="9.140625" style="2"/>
    <col min="2" max="2" width="16.140625" style="2" bestFit="1" customWidth="1"/>
    <col min="3" max="3" width="9.140625" style="2"/>
    <col min="4" max="4" width="18.85546875" style="2" customWidth="1"/>
    <col min="5" max="5" width="9.140625" style="2"/>
    <col min="6" max="6" width="16.7109375" style="2" bestFit="1" customWidth="1"/>
    <col min="7" max="7" width="9.140625" style="2"/>
    <col min="8" max="8" width="16.140625" style="2" bestFit="1" customWidth="1"/>
    <col min="9" max="16384" width="9.140625" style="2"/>
  </cols>
  <sheetData>
    <row r="2" spans="2:8" ht="18.75">
      <c r="B2" s="4" t="s">
        <v>49</v>
      </c>
      <c r="D2" s="4" t="s">
        <v>50</v>
      </c>
      <c r="F2" s="4" t="s">
        <v>51</v>
      </c>
      <c r="H2" s="4" t="s">
        <v>52</v>
      </c>
    </row>
    <row r="3" spans="2:8" ht="18.75">
      <c r="B3" s="3">
        <f>SUM('Raw Data'!C2:C13)</f>
        <v>690000</v>
      </c>
      <c r="D3" s="3">
        <f>SUM('Raw Data'!D2:D13)</f>
        <v>427000</v>
      </c>
      <c r="F3" s="3">
        <f>SUM('Raw Data'!E2:E13)</f>
        <v>263000</v>
      </c>
      <c r="H3" s="3" t="str">
        <f>ROUND(F3/B3*100,1)&amp;"%"</f>
        <v>38.1%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2026-06-14T06:08:50Z</dcterms:created>
  <dcterms:modified xsi:type="dcterms:W3CDTF">2026-06-15T06:49:22Z</dcterms:modified>
  <cp:category/>
  <cp:contentStatus/>
</cp:coreProperties>
</file>